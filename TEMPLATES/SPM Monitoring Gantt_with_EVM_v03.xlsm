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_GoogleDrive\_to_do\L2-3-EngineeringDesign\Gantt_Charts\"/>
    </mc:Choice>
  </mc:AlternateContent>
  <xr:revisionPtr revIDLastSave="0" documentId="10_ncr:8100000_{6C37F704-1EEF-4966-BE13-F133CD27A4FF}" xr6:coauthVersionLast="34" xr6:coauthVersionMax="34" xr10:uidLastSave="{00000000-0000-0000-0000-000000000000}"/>
  <bookViews>
    <workbookView xWindow="0" yWindow="0" windowWidth="20490" windowHeight="7545" xr2:uid="{0EDC9297-6618-4A3F-A82E-2F666E963A08}"/>
  </bookViews>
  <sheets>
    <sheet name="EngDesignGanttData" sheetId="1" r:id="rId1"/>
    <sheet name="EngDesignGanttChart" sheetId="2" r:id="rId2"/>
    <sheet name="EV_History" sheetId="3" r:id="rId3"/>
    <sheet name="Legend" sheetId="4" r:id="rId4"/>
  </sheets>
  <definedNames>
    <definedName name="AC">EngDesignGanttData!$K:$K</definedName>
    <definedName name="AC_metric">EngDesignGanttData!$R$6</definedName>
    <definedName name="Activities">EngDesignGanttData!$A:$A</definedName>
    <definedName name="CPI_metric">EngDesignGanttData!$R$3</definedName>
    <definedName name="DaysCompleted">EngDesignGanttData!$F:$F</definedName>
    <definedName name="DaysRemaining">EngDesignGanttData!$G:$G</definedName>
    <definedName name="DurationDays">EngDesignGanttData!$H:$H</definedName>
    <definedName name="EndDate">EngDesignGanttData!$C:$C</definedName>
    <definedName name="EndDateCondition">EngDesignGanttData!$J:$J</definedName>
    <definedName name="EV">EngDesignGanttData!$M:$M</definedName>
    <definedName name="EV_Date">EngDesignGanttData!$R$1</definedName>
    <definedName name="EV_metric">EngDesignGanttData!$R$5</definedName>
    <definedName name="PercentComplete">EngDesignGanttData!$L:$L</definedName>
    <definedName name="PlannedValue">EngDesignGanttData!$D:$D</definedName>
    <definedName name="PV">EngDesignGanttData!$D:$D</definedName>
    <definedName name="PV_metric">EngDesignGanttData!$R$4</definedName>
    <definedName name="ScheduleToComplete">EngDesignGanttData!$O:$O</definedName>
    <definedName name="ScheduleToDate">EngDesignGanttData!$N:$N</definedName>
    <definedName name="SPI_metric">EngDesignGanttData!$R$2</definedName>
    <definedName name="StartDate">EngDesignGanttData!$B:$B</definedName>
    <definedName name="StartDateCondition">EngDesignGanttData!$I:$I</definedName>
    <definedName name="TaskShare">EngDesignGanttData!$E:$E</definedName>
    <definedName name="TempPV">EngDesignGanttData!$P:$P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" i="1"/>
  <c r="H3" i="1"/>
  <c r="F3" i="1" s="1"/>
  <c r="G3" i="1" s="1"/>
  <c r="H4" i="1"/>
  <c r="F4" i="1" s="1"/>
  <c r="G4" i="1" s="1"/>
  <c r="F5" i="1"/>
  <c r="G5" i="1" s="1"/>
  <c r="H5" i="1"/>
  <c r="H6" i="1"/>
  <c r="F6" i="1" s="1"/>
  <c r="G6" i="1" s="1"/>
  <c r="H7" i="1"/>
  <c r="F7" i="1" s="1"/>
  <c r="G7" i="1" s="1"/>
  <c r="H8" i="1"/>
  <c r="F8" i="1" s="1"/>
  <c r="G8" i="1" s="1"/>
  <c r="H9" i="1"/>
  <c r="F9" i="1" s="1"/>
  <c r="G9" i="1" s="1"/>
  <c r="H10" i="1"/>
  <c r="F10" i="1" s="1"/>
  <c r="G10" i="1" s="1"/>
  <c r="H11" i="1"/>
  <c r="F11" i="1" s="1"/>
  <c r="G11" i="1" s="1"/>
  <c r="H12" i="1"/>
  <c r="F12" i="1" s="1"/>
  <c r="G12" i="1" s="1"/>
  <c r="F13" i="1"/>
  <c r="G13" i="1" s="1"/>
  <c r="H13" i="1"/>
  <c r="F14" i="1"/>
  <c r="G14" i="1" s="1"/>
  <c r="H14" i="1"/>
  <c r="H15" i="1"/>
  <c r="F15" i="1" s="1"/>
  <c r="G15" i="1" s="1"/>
  <c r="F16" i="1"/>
  <c r="G16" i="1" s="1"/>
  <c r="H16" i="1"/>
  <c r="H17" i="1"/>
  <c r="F17" i="1" s="1"/>
  <c r="G17" i="1" s="1"/>
  <c r="H18" i="1"/>
  <c r="F18" i="1" s="1"/>
  <c r="G18" i="1" s="1"/>
  <c r="H19" i="1"/>
  <c r="F19" i="1" s="1"/>
  <c r="G19" i="1" s="1"/>
  <c r="H20" i="1"/>
  <c r="F20" i="1" s="1"/>
  <c r="G20" i="1" s="1"/>
  <c r="G2" i="1"/>
  <c r="F2" i="1"/>
  <c r="H2" i="1"/>
  <c r="D1" i="1" l="1"/>
  <c r="E1" i="1" l="1"/>
  <c r="J2" i="1" l="1"/>
  <c r="I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" i="1"/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P3" i="1" l="1"/>
  <c r="P4" i="1"/>
  <c r="P5" i="1"/>
  <c r="P2" i="1"/>
  <c r="P20" i="1" l="1"/>
  <c r="P16" i="1"/>
  <c r="P12" i="1"/>
  <c r="P8" i="1"/>
  <c r="P19" i="1"/>
  <c r="P15" i="1"/>
  <c r="P11" i="1"/>
  <c r="P7" i="1"/>
  <c r="P18" i="1"/>
  <c r="P14" i="1"/>
  <c r="P10" i="1"/>
  <c r="P6" i="1"/>
  <c r="P17" i="1"/>
  <c r="P13" i="1"/>
  <c r="P9" i="1"/>
  <c r="K1" i="1"/>
  <c r="R6" i="1" s="1"/>
  <c r="M1" i="1" l="1"/>
  <c r="R5" i="1" s="1"/>
  <c r="R3" i="1" s="1"/>
  <c r="A1" i="1"/>
  <c r="P1" i="1" l="1"/>
  <c r="R4" i="1" l="1"/>
  <c r="R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VOGT O.</author>
    <author>Oliver Vogt</author>
  </authors>
  <commentList>
    <comment ref="A1" authorId="0" shapeId="0" xr:uid="{D18666DB-801E-4FA4-92D6-3A10D7C35343}">
      <text>
        <r>
          <rPr>
            <b/>
            <sz val="9"/>
            <color indexed="81"/>
            <rFont val="Tahoma"/>
            <family val="2"/>
          </rPr>
          <t>Use this number to format the start of the "time axis" in the Excel bar chart:
-&gt; left click - select time axis
-&gt; Right click - Format Axis
-&gt; Axis options
-&gt; Bounds Minimum = number in cell A1</t>
        </r>
      </text>
    </comment>
    <comment ref="B1" authorId="0" shapeId="0" xr:uid="{1988AB2F-B84A-471F-A4D3-826DD10926B1}">
      <text>
        <r>
          <rPr>
            <b/>
            <sz val="9"/>
            <color indexed="81"/>
            <rFont val="Tahoma"/>
            <family val="2"/>
          </rPr>
          <t>Enter start and end dates for each activity</t>
        </r>
      </text>
    </comment>
    <comment ref="C1" authorId="0" shapeId="0" xr:uid="{8CDFC16A-B39A-4B7B-87D8-AB7EE5D608CD}">
      <text>
        <r>
          <rPr>
            <b/>
            <sz val="9"/>
            <color indexed="81"/>
            <rFont val="Tahoma"/>
            <family val="2"/>
          </rPr>
          <t>Enter start and end dates for each activity</t>
        </r>
      </text>
    </comment>
    <comment ref="D1" authorId="0" shapeId="0" xr:uid="{57E04BC3-AC5A-482F-88E7-019CAFB5812E}">
      <text>
        <r>
          <rPr>
            <b/>
            <sz val="9"/>
            <color indexed="81"/>
            <rFont val="Tahoma"/>
            <family val="2"/>
          </rPr>
          <t>Enter the total amount of work for each task</t>
        </r>
      </text>
    </comment>
    <comment ref="E1" authorId="0" shapeId="0" xr:uid="{056EC3FD-D784-4766-92B4-19EAA915A2F6}">
      <text>
        <r>
          <rPr>
            <b/>
            <sz val="9"/>
            <color indexed="81"/>
            <rFont val="Tahoma"/>
            <family val="2"/>
          </rPr>
          <t>Assure there are neither single "dominating" nor very small tasks in your schedule.</t>
        </r>
      </text>
    </comment>
    <comment ref="F1" authorId="0" shapeId="0" xr:uid="{637A37A7-EB8E-4F2C-91D2-B8EB3A5A700C}">
      <text>
        <r>
          <rPr>
            <b/>
            <sz val="9"/>
            <color indexed="81"/>
            <rFont val="Tahoma"/>
            <family val="2"/>
          </rPr>
          <t>"Days Completed" depends on "Task % Complete"</t>
        </r>
      </text>
    </comment>
    <comment ref="H1" authorId="1" shapeId="0" xr:uid="{6CDD5929-F90F-416A-9FF3-71BCFFE130D0}">
      <text>
        <r>
          <rPr>
            <b/>
            <sz val="9"/>
            <color indexed="81"/>
            <rFont val="Tahoma"/>
            <family val="2"/>
          </rPr>
          <t>Calculated from EndDate - StartDate</t>
        </r>
      </text>
    </comment>
    <comment ref="I1" authorId="0" shapeId="0" xr:uid="{849F6AA5-20C4-4E56-958B-EEB6AEE5A5C4}">
      <text>
        <r>
          <rPr>
            <b/>
            <sz val="9"/>
            <color indexed="81"/>
            <rFont val="Tahoma"/>
            <family val="2"/>
          </rPr>
          <t>Show overdue tasks, e.g. they should have started already</t>
        </r>
      </text>
    </comment>
    <comment ref="J1" authorId="0" shapeId="0" xr:uid="{DD08F021-ECE3-4D86-921C-6981E407C4E3}">
      <text>
        <r>
          <rPr>
            <b/>
            <sz val="9"/>
            <color indexed="81"/>
            <rFont val="Tahoma"/>
            <family val="2"/>
          </rPr>
          <t>Show late tasks, e.g. they should have been finished already</t>
        </r>
      </text>
    </comment>
    <comment ref="K1" authorId="0" shapeId="0" xr:uid="{CBD06B8C-BA1D-4C6E-AD6F-73D4821B5B6F}">
      <text>
        <r>
          <rPr>
            <b/>
            <sz val="9"/>
            <color indexed="81"/>
            <rFont val="Tahoma"/>
            <family val="2"/>
          </rPr>
          <t>Investigate actual working hours for each task at "EV date"</t>
        </r>
      </text>
    </comment>
    <comment ref="L1" authorId="0" shapeId="0" xr:uid="{F4636FF5-377A-4F03-AC2B-F5823001815B}">
      <text>
        <r>
          <rPr>
            <b/>
            <sz val="9"/>
            <color indexed="81"/>
            <rFont val="Tahoma"/>
            <family val="2"/>
          </rPr>
          <t>Investigate % complete for each task at the "EV date"</t>
        </r>
      </text>
    </comment>
    <comment ref="M1" authorId="1" shapeId="0" xr:uid="{8B80E6A4-DE64-4B5F-8AD2-A6A5F4C6BB1A}">
      <text>
        <r>
          <rPr>
            <b/>
            <sz val="9"/>
            <color indexed="81"/>
            <rFont val="Tahoma"/>
            <family val="2"/>
          </rPr>
          <t>Earned Value for each task = Planned Value x completion rate</t>
        </r>
      </text>
    </comment>
    <comment ref="N1" authorId="0" shapeId="0" xr:uid="{A9496755-1D13-48F6-8635-315DDE6200E1}">
      <text>
        <r>
          <rPr>
            <b/>
            <sz val="9"/>
            <color indexed="81"/>
            <rFont val="Tahoma"/>
            <family val="2"/>
          </rPr>
          <t>How many days did you work on the task already?</t>
        </r>
      </text>
    </comment>
    <comment ref="O1" authorId="0" shapeId="0" xr:uid="{29FD2557-3668-4097-B221-2F448700E544}">
      <text>
        <r>
          <rPr>
            <b/>
            <sz val="9"/>
            <color indexed="81"/>
            <rFont val="Tahoma"/>
            <family val="2"/>
          </rPr>
          <t>How many days are left to work on the task?</t>
        </r>
      </text>
    </comment>
    <comment ref="R1" authorId="1" shapeId="0" xr:uid="{78AF7308-BBAA-41FA-AC0C-04CFC6D248B2}">
      <text>
        <r>
          <rPr>
            <b/>
            <sz val="9"/>
            <color indexed="81"/>
            <rFont val="Tahoma"/>
            <family val="2"/>
          </rPr>
          <t>Enter today's date to get the Earned Value metrics displayed</t>
        </r>
      </text>
    </comment>
    <comment ref="Q2" authorId="0" shapeId="0" xr:uid="{85E708D9-F82D-42D8-A646-219A80A6F597}">
      <text>
        <r>
          <rPr>
            <b/>
            <sz val="9"/>
            <color indexed="81"/>
            <rFont val="Tahoma"/>
            <family val="2"/>
          </rPr>
          <t xml:space="preserve">If SPI &gt; 1 -&gt; the project is going to take longer than planned 
If SPI &lt; 1 -&gt; the project is going to be shorter than planned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3" authorId="0" shapeId="0" xr:uid="{C75A85C1-CE27-4737-A8B2-56579BCD858C}">
      <text>
        <r>
          <rPr>
            <b/>
            <sz val="9"/>
            <color indexed="81"/>
            <rFont val="Tahoma"/>
            <family val="2"/>
          </rPr>
          <t xml:space="preserve">If CPI &gt; 1 -&gt; the project is going to be more expensive than planned 
If CPI &lt; 1 -&gt; the project is going to be cheaper than planned
</t>
        </r>
      </text>
    </comment>
  </commentList>
</comments>
</file>

<file path=xl/sharedStrings.xml><?xml version="1.0" encoding="utf-8"?>
<sst xmlns="http://schemas.openxmlformats.org/spreadsheetml/2006/main" count="106" uniqueCount="89">
  <si>
    <t>Activity 2</t>
  </si>
  <si>
    <t>Activity 3</t>
  </si>
  <si>
    <t>Activity 4</t>
  </si>
  <si>
    <t>Activity 5</t>
  </si>
  <si>
    <t>Activity 6</t>
  </si>
  <si>
    <t>Activity 7</t>
  </si>
  <si>
    <t>Activity 8</t>
  </si>
  <si>
    <t>Activity 9</t>
  </si>
  <si>
    <t>Activity 10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</si>
  <si>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</si>
  <si>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</si>
  <si>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</si>
  <si>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</si>
  <si>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</si>
  <si>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</si>
  <si>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</si>
  <si>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</si>
  <si>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Start 
Date</t>
  </si>
  <si>
    <t>End 
Date</t>
  </si>
  <si>
    <t>Days 
Remaining</t>
  </si>
  <si>
    <t>Days 
Completed</t>
  </si>
  <si>
    <t>Activity 19</t>
  </si>
  <si>
    <t>Duration
Days</t>
  </si>
  <si>
    <t>Project Management</t>
  </si>
  <si>
    <t>Task % 
Complete</t>
  </si>
  <si>
    <t>EV date =</t>
  </si>
  <si>
    <t>Schedule 
To Date</t>
  </si>
  <si>
    <t>SPI =</t>
  </si>
  <si>
    <t>CPI =</t>
  </si>
  <si>
    <t>PV</t>
  </si>
  <si>
    <t>EV</t>
  </si>
  <si>
    <t>AC</t>
  </si>
  <si>
    <t>PV =</t>
  </si>
  <si>
    <t>EV =</t>
  </si>
  <si>
    <t>AC =</t>
  </si>
  <si>
    <t>SPI</t>
  </si>
  <si>
    <t>CPI</t>
  </si>
  <si>
    <t>EV_date</t>
  </si>
  <si>
    <t>Start Date Condition</t>
  </si>
  <si>
    <t>End Date Condition</t>
  </si>
  <si>
    <t>Red Cells = don’t edit</t>
  </si>
  <si>
    <t>Yellow Cells = edit when planning the project</t>
  </si>
  <si>
    <t>Green Cells = edit when monitoring the project</t>
  </si>
  <si>
    <t>Schedule To Compl.</t>
  </si>
  <si>
    <t xml:space="preserve">Task Share in % </t>
  </si>
  <si>
    <t xml:space="preserve">Actual Cost </t>
  </si>
  <si>
    <t>Earned Value</t>
  </si>
  <si>
    <t xml:space="preserve">TempPV </t>
  </si>
  <si>
    <t>SPI_metric</t>
  </si>
  <si>
    <t>CPI_metric</t>
  </si>
  <si>
    <t>PV_metric</t>
  </si>
  <si>
    <t>EV_metric</t>
  </si>
  <si>
    <t>AC_metric</t>
  </si>
  <si>
    <t>Assure there are neither single "dominating" nor very small tasks in your schedule.</t>
  </si>
  <si>
    <t>= Show overdue tasks, e.g. they should have started already</t>
  </si>
  <si>
    <t>= Show late tasks, e.g. they should have been finished already</t>
  </si>
  <si>
    <t>=IF(EV_Date&lt;EndDate,0,IF(PercentComplete&lt;1,1,0))</t>
  </si>
  <si>
    <t>=IF(EV_Date&gt;StartDate,IF(PercentComplete="",1,0),0)</t>
  </si>
  <si>
    <t>Investigate actual working hours for each task at "EV date"</t>
  </si>
  <si>
    <t>Investigate % complete for each task at the "EV date"</t>
  </si>
  <si>
    <t>Earned Value for each task = Planned Value x completion rate</t>
  </si>
  <si>
    <t>=EV_Date-StartDate</t>
  </si>
  <si>
    <t>=EndDate-EV_Date</t>
  </si>
  <si>
    <t>How many days did you work on the task already?</t>
  </si>
  <si>
    <t>How many days are left to work on the task?</t>
  </si>
  <si>
    <t>=IF(ScheduleToComplete&lt;=0,PlannedValue,IF(ScheduleToDate&lt;=0,0,(ScheduleToDate*PlannedValue/DurationDays)))</t>
  </si>
  <si>
    <t>=EV_metric/PV_metric</t>
  </si>
  <si>
    <t>=EV_metric/AC_metric</t>
  </si>
  <si>
    <t>=SUM(TempPV)</t>
  </si>
  <si>
    <t>=SUM(EV)</t>
  </si>
  <si>
    <t>=SUM(AC)</t>
  </si>
  <si>
    <t>&gt;&gt;&gt;&gt;</t>
  </si>
  <si>
    <t>EV_Date</t>
  </si>
  <si>
    <t>=(PercentComplete)*(EndDate-StartDate)</t>
  </si>
  <si>
    <t>=(EndDate-StartDate)-DaysCompleted</t>
  </si>
  <si>
    <t>=(EndDate-StartDate)</t>
  </si>
  <si>
    <t>&lt;=0</t>
  </si>
  <si>
    <t>-&gt; the task should be finished by now and TempPV = PV as scheduled</t>
  </si>
  <si>
    <t>&gt;0</t>
  </si>
  <si>
    <t>IF Schedule To Date</t>
  </si>
  <si>
    <t xml:space="preserve">IF Schedule to Complete </t>
  </si>
  <si>
    <t>-&gt; This task will start at some point in the future, hence PV at this date is = 0</t>
  </si>
  <si>
    <t>-&gt; This is an ongoing task and we need to investigate Schedule to Date</t>
  </si>
  <si>
    <t>=  PlannedValue * ScheduleToDate / DurationDays</t>
  </si>
  <si>
    <t>There are some hidden 
columns on this spreadsheet</t>
  </si>
  <si>
    <t>Planned Value</t>
  </si>
  <si>
    <t>The current date when assessing the performance of the project</t>
  </si>
  <si>
    <t>Set at the beginning of the project</t>
  </si>
  <si>
    <t>-&gt; This is an ongoing task an PV is proportionate to the total duration of the 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</si>
</sst>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CC"/>
        <bgColor indexed="64"/>
      </patternFill>
    </fill>
  </fills>
  <borders count="9">
    <border>
      <left/>
      <right/>
      <top/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/>
      <bottom style="medium">
        <color rgb="FFFF000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4" fillId="4" borderId="0" xfId="0" applyFont="1" applyFill="1" applyBorder="1" applyAlignment="1">
      <alignment horizontal="right" vertical="center"/>
    </xf>
    <xf numFmtId="0" fontId="4" fillId="4" borderId="4" xfId="0" applyFont="1" applyFill="1" applyBorder="1" applyAlignment="1">
      <alignment horizontal="right" vertical="center"/>
    </xf>
    <xf numFmtId="14" fontId="0" fillId="0" borderId="0" xfId="0" applyNumberFormat="1"/>
    <xf numFmtId="2" fontId="0" fillId="0" borderId="0" xfId="0" applyNumberFormat="1"/>
    <xf numFmtId="2" fontId="4" fillId="4" borderId="2" xfId="0" applyNumberFormat="1" applyFont="1" applyFill="1" applyBorder="1" applyAlignment="1">
      <alignment horizontal="right" vertical="center"/>
    </xf>
    <xf numFmtId="2" fontId="4" fillId="4" borderId="3" xfId="0" applyNumberFormat="1" applyFont="1" applyFill="1" applyBorder="1" applyAlignment="1">
      <alignment horizontal="right" vertical="center"/>
    </xf>
    <xf numFmtId="0" fontId="4" fillId="3" borderId="7" xfId="0" applyFont="1" applyFill="1" applyBorder="1" applyAlignment="1">
      <alignment horizontal="center" vertical="center" wrapText="1"/>
    </xf>
    <xf numFmtId="9" fontId="4" fillId="3" borderId="6" xfId="1" applyFont="1" applyFill="1" applyBorder="1" applyAlignment="1">
      <alignment horizontal="center" vertical="center" wrapText="1"/>
    </xf>
    <xf numFmtId="14" fontId="4" fillId="3" borderId="6" xfId="0" applyNumberFormat="1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9" fontId="4" fillId="3" borderId="2" xfId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9" fontId="4" fillId="3" borderId="3" xfId="1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15" fontId="0" fillId="2" borderId="5" xfId="0" applyNumberFormat="1" applyFont="1" applyFill="1" applyBorder="1" applyAlignment="1">
      <alignment horizontal="right" vertical="center" wrapText="1"/>
    </xf>
    <xf numFmtId="15" fontId="0" fillId="2" borderId="7" xfId="0" applyNumberFormat="1" applyFont="1" applyFill="1" applyBorder="1" applyAlignment="1">
      <alignment horizontal="right" vertical="center" wrapText="1"/>
    </xf>
    <xf numFmtId="0" fontId="0" fillId="2" borderId="6" xfId="0" applyFont="1" applyFill="1" applyBorder="1" applyAlignment="1">
      <alignment horizontal="right" vertical="center" wrapText="1"/>
    </xf>
    <xf numFmtId="164" fontId="5" fillId="4" borderId="5" xfId="1" applyNumberFormat="1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4" borderId="5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 wrapText="1"/>
    </xf>
    <xf numFmtId="1" fontId="5" fillId="4" borderId="7" xfId="0" applyNumberFormat="1" applyFont="1" applyFill="1" applyBorder="1" applyAlignment="1">
      <alignment horizontal="center" vertical="center" wrapText="1"/>
    </xf>
    <xf numFmtId="165" fontId="5" fillId="4" borderId="6" xfId="0" applyNumberFormat="1" applyFont="1" applyFill="1" applyBorder="1" applyAlignment="1">
      <alignment horizontal="center" vertical="center" wrapText="1"/>
    </xf>
    <xf numFmtId="0" fontId="0" fillId="0" borderId="7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15" fontId="0" fillId="2" borderId="1" xfId="0" applyNumberFormat="1" applyFont="1" applyFill="1" applyBorder="1" applyAlignment="1">
      <alignment vertical="center"/>
    </xf>
    <xf numFmtId="15" fontId="0" fillId="2" borderId="0" xfId="0" applyNumberFormat="1" applyFont="1" applyFill="1" applyBorder="1" applyAlignment="1">
      <alignment vertical="center"/>
    </xf>
    <xf numFmtId="0" fontId="0" fillId="2" borderId="2" xfId="0" applyFont="1" applyFill="1" applyBorder="1" applyAlignment="1">
      <alignment vertical="center"/>
    </xf>
    <xf numFmtId="164" fontId="5" fillId="4" borderId="1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1" fontId="5" fillId="4" borderId="0" xfId="0" applyNumberFormat="1" applyFont="1" applyFill="1" applyBorder="1" applyAlignment="1">
      <alignment horizontal="center" vertical="center"/>
    </xf>
    <xf numFmtId="165" fontId="5" fillId="4" borderId="2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15" fontId="0" fillId="2" borderId="8" xfId="0" applyNumberFormat="1" applyFont="1" applyFill="1" applyBorder="1" applyAlignment="1">
      <alignment vertical="center"/>
    </xf>
    <xf numFmtId="15" fontId="0" fillId="2" borderId="4" xfId="0" applyNumberFormat="1" applyFont="1" applyFill="1" applyBorder="1" applyAlignment="1">
      <alignment vertical="center"/>
    </xf>
    <xf numFmtId="0" fontId="0" fillId="2" borderId="3" xfId="0" applyFont="1" applyFill="1" applyBorder="1" applyAlignment="1">
      <alignment vertical="center"/>
    </xf>
    <xf numFmtId="164" fontId="5" fillId="4" borderId="8" xfId="1" applyNumberFormat="1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165" fontId="5" fillId="4" borderId="3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9" fontId="4" fillId="3" borderId="0" xfId="1" applyFont="1" applyFill="1" applyAlignment="1">
      <alignment horizontal="center" vertical="center"/>
    </xf>
    <xf numFmtId="0" fontId="4" fillId="4" borderId="7" xfId="0" applyFont="1" applyFill="1" applyBorder="1" applyAlignment="1">
      <alignment vertical="center"/>
    </xf>
    <xf numFmtId="0" fontId="0" fillId="0" borderId="0" xfId="0" quotePrefix="1"/>
    <xf numFmtId="0" fontId="3" fillId="0" borderId="0" xfId="0" quotePrefix="1" applyFont="1"/>
    <xf numFmtId="0" fontId="0" fillId="4" borderId="0" xfId="0" applyFill="1"/>
    <xf numFmtId="0" fontId="3" fillId="4" borderId="0" xfId="0" applyFont="1" applyFill="1"/>
    <xf numFmtId="0" fontId="0" fillId="2" borderId="0" xfId="0" applyFill="1"/>
    <xf numFmtId="0" fontId="0" fillId="3" borderId="0" xfId="0" applyFill="1"/>
    <xf numFmtId="0" fontId="5" fillId="0" borderId="0" xfId="0" quotePrefix="1" applyFont="1"/>
    <xf numFmtId="0" fontId="3" fillId="3" borderId="0" xfId="0" applyFont="1" applyFill="1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CCCC"/>
      <color rgb="FFFF3300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v>StartDate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EngDesignGanttData!$A$2:$A$20</c:f>
              <c:strCache>
                <c:ptCount val="19"/>
                <c:pt idx="0">
                  <c:v>Project Management</c:v>
                </c:pt>
                <c:pt idx="1">
                  <c:v>Activity 2</c:v>
                </c:pt>
                <c:pt idx="2">
                  <c:v>Activity 3</c:v>
                </c:pt>
                <c:pt idx="3">
                  <c:v>Activity 4</c:v>
                </c:pt>
                <c:pt idx="4">
                  <c:v>Activity 5</c:v>
                </c:pt>
                <c:pt idx="5">
                  <c:v>Activity 6</c:v>
                </c:pt>
                <c:pt idx="6">
                  <c:v>Activity 7</c:v>
                </c:pt>
                <c:pt idx="7">
                  <c:v>Activity 8</c:v>
                </c:pt>
                <c:pt idx="8">
                  <c:v>Activity 9</c:v>
                </c:pt>
                <c:pt idx="9">
                  <c:v>Activity 10</c:v>
                </c:pt>
                <c:pt idx="10">
                  <c:v>Activity 11</c:v>
                </c:pt>
                <c:pt idx="11">
                  <c:v>Activity 12</c:v>
                </c:pt>
                <c:pt idx="12">
                  <c:v>Activity 13</c:v>
                </c:pt>
                <c:pt idx="13">
                  <c:v>Activity 14</c:v>
                </c:pt>
                <c:pt idx="14">
                  <c:v>Activity 15</c:v>
                </c:pt>
                <c:pt idx="15">
                  <c:v>Activity 16</c:v>
                </c:pt>
                <c:pt idx="16">
                  <c:v>Activity 17</c:v>
                </c:pt>
                <c:pt idx="17">
                  <c:v>Activity 18</c:v>
                </c:pt>
                <c:pt idx="18">
                  <c:v>Activity 19</c:v>
                </c:pt>
              </c:strCache>
            </c:strRef>
          </c:cat>
          <c:val>
            <c:numRef>
              <c:f>EngDesignGanttData!$B$2:$B$20</c:f>
              <c:numCache>
                <c:formatCode>dd-mmm-yy</c:formatCode>
                <c:ptCount val="19"/>
                <c:pt idx="0">
                  <c:v>43374</c:v>
                </c:pt>
                <c:pt idx="1">
                  <c:v>43374</c:v>
                </c:pt>
                <c:pt idx="2">
                  <c:v>43383</c:v>
                </c:pt>
                <c:pt idx="3">
                  <c:v>43383</c:v>
                </c:pt>
                <c:pt idx="4">
                  <c:v>43388</c:v>
                </c:pt>
                <c:pt idx="5">
                  <c:v>43393</c:v>
                </c:pt>
                <c:pt idx="6">
                  <c:v>43393</c:v>
                </c:pt>
                <c:pt idx="7">
                  <c:v>43393</c:v>
                </c:pt>
                <c:pt idx="8">
                  <c:v>43405</c:v>
                </c:pt>
                <c:pt idx="9">
                  <c:v>43419</c:v>
                </c:pt>
                <c:pt idx="10">
                  <c:v>43434</c:v>
                </c:pt>
                <c:pt idx="11">
                  <c:v>43403</c:v>
                </c:pt>
                <c:pt idx="12">
                  <c:v>43439</c:v>
                </c:pt>
                <c:pt idx="13">
                  <c:v>43405</c:v>
                </c:pt>
                <c:pt idx="14">
                  <c:v>43405</c:v>
                </c:pt>
                <c:pt idx="15">
                  <c:v>43419</c:v>
                </c:pt>
                <c:pt idx="16">
                  <c:v>43480</c:v>
                </c:pt>
                <c:pt idx="17">
                  <c:v>43495</c:v>
                </c:pt>
                <c:pt idx="18">
                  <c:v>43525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2-4F86-8B50-D376B502B1A5}"/>
            </c:ext>
          </c:extLst>
        </c:ser>
        <c:ser>
          <c:idx val="1"/>
          <c:order val="1"/>
          <c:tx>
            <c:v>DaysCompleted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EngDesignGanttData!$A$2:$A$20</c:f>
              <c:strCache>
                <c:ptCount val="19"/>
                <c:pt idx="0">
                  <c:v>Project Management</c:v>
                </c:pt>
                <c:pt idx="1">
                  <c:v>Activity 2</c:v>
                </c:pt>
                <c:pt idx="2">
                  <c:v>Activity 3</c:v>
                </c:pt>
                <c:pt idx="3">
                  <c:v>Activity 4</c:v>
                </c:pt>
                <c:pt idx="4">
                  <c:v>Activity 5</c:v>
                </c:pt>
                <c:pt idx="5">
                  <c:v>Activity 6</c:v>
                </c:pt>
                <c:pt idx="6">
                  <c:v>Activity 7</c:v>
                </c:pt>
                <c:pt idx="7">
                  <c:v>Activity 8</c:v>
                </c:pt>
                <c:pt idx="8">
                  <c:v>Activity 9</c:v>
                </c:pt>
                <c:pt idx="9">
                  <c:v>Activity 10</c:v>
                </c:pt>
                <c:pt idx="10">
                  <c:v>Activity 11</c:v>
                </c:pt>
                <c:pt idx="11">
                  <c:v>Activity 12</c:v>
                </c:pt>
                <c:pt idx="12">
                  <c:v>Activity 13</c:v>
                </c:pt>
                <c:pt idx="13">
                  <c:v>Activity 14</c:v>
                </c:pt>
                <c:pt idx="14">
                  <c:v>Activity 15</c:v>
                </c:pt>
                <c:pt idx="15">
                  <c:v>Activity 16</c:v>
                </c:pt>
                <c:pt idx="16">
                  <c:v>Activity 17</c:v>
                </c:pt>
                <c:pt idx="17">
                  <c:v>Activity 18</c:v>
                </c:pt>
                <c:pt idx="18">
                  <c:v>Activity 19</c:v>
                </c:pt>
              </c:strCache>
            </c:strRef>
          </c:cat>
          <c:val>
            <c:numRef>
              <c:f>EngDesignGanttData!$F$2:$F$20</c:f>
              <c:numCache>
                <c:formatCode>General</c:formatCode>
                <c:ptCount val="19"/>
                <c:pt idx="0">
                  <c:v>24</c:v>
                </c:pt>
                <c:pt idx="1">
                  <c:v>8</c:v>
                </c:pt>
                <c:pt idx="2">
                  <c:v>14.4</c:v>
                </c:pt>
                <c:pt idx="3">
                  <c:v>6.4</c:v>
                </c:pt>
                <c:pt idx="4">
                  <c:v>14</c:v>
                </c:pt>
                <c:pt idx="5">
                  <c:v>9</c:v>
                </c:pt>
                <c:pt idx="6">
                  <c:v>9.9</c:v>
                </c:pt>
                <c:pt idx="7">
                  <c:v>4.5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8.7000000000000011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32-4F86-8B50-D376B502B1A5}"/>
            </c:ext>
          </c:extLst>
        </c:ser>
        <c:ser>
          <c:idx val="2"/>
          <c:order val="2"/>
          <c:tx>
            <c:v>DaysRemaining</c:v>
          </c:tx>
          <c:spPr>
            <a:solidFill>
              <a:srgbClr val="CC3300"/>
            </a:solidFill>
            <a:ln>
              <a:noFill/>
            </a:ln>
            <a:effectLst/>
          </c:spPr>
          <c:invertIfNegative val="0"/>
          <c:cat>
            <c:strRef>
              <c:f>EngDesignGanttData!$A$2:$A$20</c:f>
              <c:strCache>
                <c:ptCount val="19"/>
                <c:pt idx="0">
                  <c:v>Project Management</c:v>
                </c:pt>
                <c:pt idx="1">
                  <c:v>Activity 2</c:v>
                </c:pt>
                <c:pt idx="2">
                  <c:v>Activity 3</c:v>
                </c:pt>
                <c:pt idx="3">
                  <c:v>Activity 4</c:v>
                </c:pt>
                <c:pt idx="4">
                  <c:v>Activity 5</c:v>
                </c:pt>
                <c:pt idx="5">
                  <c:v>Activity 6</c:v>
                </c:pt>
                <c:pt idx="6">
                  <c:v>Activity 7</c:v>
                </c:pt>
                <c:pt idx="7">
                  <c:v>Activity 8</c:v>
                </c:pt>
                <c:pt idx="8">
                  <c:v>Activity 9</c:v>
                </c:pt>
                <c:pt idx="9">
                  <c:v>Activity 10</c:v>
                </c:pt>
                <c:pt idx="10">
                  <c:v>Activity 11</c:v>
                </c:pt>
                <c:pt idx="11">
                  <c:v>Activity 12</c:v>
                </c:pt>
                <c:pt idx="12">
                  <c:v>Activity 13</c:v>
                </c:pt>
                <c:pt idx="13">
                  <c:v>Activity 14</c:v>
                </c:pt>
                <c:pt idx="14">
                  <c:v>Activity 15</c:v>
                </c:pt>
                <c:pt idx="15">
                  <c:v>Activity 16</c:v>
                </c:pt>
                <c:pt idx="16">
                  <c:v>Activity 17</c:v>
                </c:pt>
                <c:pt idx="17">
                  <c:v>Activity 18</c:v>
                </c:pt>
                <c:pt idx="18">
                  <c:v>Activity 19</c:v>
                </c:pt>
              </c:strCache>
            </c:strRef>
          </c:cat>
          <c:val>
            <c:numRef>
              <c:f>EngDesignGanttData!$G$2:$G$20</c:f>
              <c:numCache>
                <c:formatCode>General</c:formatCode>
                <c:ptCount val="19"/>
                <c:pt idx="0">
                  <c:v>96</c:v>
                </c:pt>
                <c:pt idx="1">
                  <c:v>0</c:v>
                </c:pt>
                <c:pt idx="2">
                  <c:v>1.5999999999999996</c:v>
                </c:pt>
                <c:pt idx="3">
                  <c:v>1.5999999999999996</c:v>
                </c:pt>
                <c:pt idx="4">
                  <c:v>6</c:v>
                </c:pt>
                <c:pt idx="5">
                  <c:v>6</c:v>
                </c:pt>
                <c:pt idx="6">
                  <c:v>20.100000000000001</c:v>
                </c:pt>
                <c:pt idx="7">
                  <c:v>10.5</c:v>
                </c:pt>
                <c:pt idx="8">
                  <c:v>7</c:v>
                </c:pt>
                <c:pt idx="9">
                  <c:v>21</c:v>
                </c:pt>
                <c:pt idx="10">
                  <c:v>7</c:v>
                </c:pt>
                <c:pt idx="11">
                  <c:v>30</c:v>
                </c:pt>
                <c:pt idx="12">
                  <c:v>8</c:v>
                </c:pt>
                <c:pt idx="13">
                  <c:v>78.3</c:v>
                </c:pt>
                <c:pt idx="14">
                  <c:v>7</c:v>
                </c:pt>
                <c:pt idx="15">
                  <c:v>22</c:v>
                </c:pt>
                <c:pt idx="16">
                  <c:v>12</c:v>
                </c:pt>
                <c:pt idx="17">
                  <c:v>22</c:v>
                </c:pt>
                <c:pt idx="18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32-4F86-8B50-D376B502B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5557776"/>
        <c:axId val="405560728"/>
      </c:barChart>
      <c:catAx>
        <c:axId val="4055577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60728"/>
        <c:crosses val="autoZero"/>
        <c:auto val="1"/>
        <c:lblAlgn val="ctr"/>
        <c:lblOffset val="100"/>
        <c:noMultiLvlLbl val="0"/>
      </c:catAx>
      <c:valAx>
        <c:axId val="405560728"/>
        <c:scaling>
          <c:orientation val="minMax"/>
          <c:min val="43374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/m\/yy;@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57776"/>
        <c:crosses val="autoZero"/>
        <c:crossBetween val="between"/>
        <c:majorUnit val="3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C825959-6460-45F4-B9D2-6D856CF4AFA1}">
  <sheetPr codeName="Chart2"/>
  <sheetViews>
    <sheetView zoomScale="73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6</xdr:row>
          <xdr:rowOff>9525</xdr:rowOff>
        </xdr:from>
        <xdr:to>
          <xdr:col>17</xdr:col>
          <xdr:colOff>447675</xdr:colOff>
          <xdr:row>9</xdr:row>
          <xdr:rowOff>0</xdr:rowOff>
        </xdr:to>
        <xdr:sp macro="" textlink="">
          <xdr:nvSpPr>
            <xdr:cNvPr id="1037" name="Update_EV_History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C72C-2EF9-4497-8EB9-1355D4E14C6B}">
  <sheetPr codeName="Sheet1"/>
  <dimension ref="A1:R20"/>
  <sheetViews>
    <sheetView tabSelected="1" zoomScaleNormal="100" workbookViewId="0">
      <selection activeCell="R1" sqref="R1"/>
    </sheetView>
  </sheetViews>
  <sheetFormatPr defaultRowHeight="15" x14ac:dyDescent="0.25"/>
  <cols>
    <col min="1" max="1" width="19.7109375" style="36" bestFit="1" customWidth="1"/>
    <col min="2" max="2" width="10.7109375" style="27" customWidth="1"/>
    <col min="3" max="3" width="10.7109375" style="28" customWidth="1"/>
    <col min="4" max="4" width="13.7109375" style="29" customWidth="1"/>
    <col min="5" max="5" width="10.7109375" style="30" customWidth="1"/>
    <col min="6" max="8" width="10.7109375" style="31" customWidth="1"/>
    <col min="9" max="9" width="10.7109375" style="32" customWidth="1"/>
    <col min="10" max="10" width="10.7109375" style="33" customWidth="1"/>
    <col min="11" max="11" width="10.7109375" style="46" customWidth="1"/>
    <col min="12" max="12" width="10.7109375" style="47" customWidth="1"/>
    <col min="13" max="13" width="10.7109375" style="32" customWidth="1"/>
    <col min="14" max="14" width="10.7109375" style="31" customWidth="1"/>
    <col min="15" max="15" width="10.7109375" style="34" customWidth="1"/>
    <col min="16" max="16" width="10.7109375" style="35" customWidth="1"/>
    <col min="17" max="18" width="10.7109375" style="12" customWidth="1"/>
    <col min="19" max="16384" width="9.140625" style="36"/>
  </cols>
  <sheetData>
    <row r="1" spans="1:18" s="25" customFormat="1" ht="30" customHeight="1" thickBot="1" x14ac:dyDescent="0.3">
      <c r="A1" s="15">
        <f>B2</f>
        <v>43374</v>
      </c>
      <c r="B1" s="16" t="s">
        <v>17</v>
      </c>
      <c r="C1" s="17" t="s">
        <v>18</v>
      </c>
      <c r="D1" s="18" t="str">
        <f>"Planned
Value= "&amp;TEXT(SUM(D2:D50),0)</f>
        <v>Planned
Value= 1200</v>
      </c>
      <c r="E1" s="19" t="str">
        <f>"Task Share 
in % = "&amp;TEXT(SUM(E2:E50),"#.00")</f>
        <v>Task Share 
in % = 1.00</v>
      </c>
      <c r="F1" s="20" t="s">
        <v>20</v>
      </c>
      <c r="G1" s="20" t="s">
        <v>19</v>
      </c>
      <c r="H1" s="20" t="s">
        <v>22</v>
      </c>
      <c r="I1" s="21" t="s">
        <v>38</v>
      </c>
      <c r="J1" s="22" t="s">
        <v>39</v>
      </c>
      <c r="K1" s="7" t="str">
        <f>"Actual
Cost = "&amp;TEXT(SUM(K2:K50),0)</f>
        <v>Actual
Cost = 330</v>
      </c>
      <c r="L1" s="8" t="s">
        <v>24</v>
      </c>
      <c r="M1" s="21" t="str">
        <f>"Earned Value = "&amp;TEXT(SUM(M2:M50),0)</f>
        <v>Earned Value = 241</v>
      </c>
      <c r="N1" s="20" t="s">
        <v>26</v>
      </c>
      <c r="O1" s="23" t="s">
        <v>43</v>
      </c>
      <c r="P1" s="24" t="str">
        <f>"TempPV = "&amp;TEXT(SUM(P2:P50),0)</f>
        <v>TempPV = 298</v>
      </c>
      <c r="Q1" s="48" t="s">
        <v>25</v>
      </c>
      <c r="R1" s="9">
        <v>43409</v>
      </c>
    </row>
    <row r="2" spans="1:18" x14ac:dyDescent="0.25">
      <c r="A2" s="26" t="s">
        <v>23</v>
      </c>
      <c r="B2" s="27">
        <v>43374</v>
      </c>
      <c r="C2" s="28">
        <v>43539</v>
      </c>
      <c r="D2" s="29">
        <v>150</v>
      </c>
      <c r="E2" s="30">
        <f t="shared" ref="E2:E20" si="0">PlannedValue/(SUM($D$2:$D$50))</f>
        <v>0.125</v>
      </c>
      <c r="F2" s="31">
        <f>IF(((EndDate)=""),"",(PercentComplete)*(DurationDays))</f>
        <v>24</v>
      </c>
      <c r="G2" s="31">
        <f>IF(DaysCompleted="","",(DurationDays)-DaysCompleted)</f>
        <v>96</v>
      </c>
      <c r="H2" s="31">
        <f>NETWORKDAYS(B2,C2)</f>
        <v>120</v>
      </c>
      <c r="I2" s="32">
        <f>IF(EV_Date&gt;StartDate,IF(PercentComplete="",1,0),0)</f>
        <v>0</v>
      </c>
      <c r="J2" s="33">
        <f t="shared" ref="J2:J20" si="1">IF(EV_Date&lt;EndDate,0,IF(PercentComplete&lt;1,1,0))</f>
        <v>0</v>
      </c>
      <c r="K2" s="10">
        <v>40</v>
      </c>
      <c r="L2" s="11">
        <v>0.2</v>
      </c>
      <c r="M2" s="32">
        <f t="shared" ref="M2:M20" si="2">PlannedValue*PercentComplete</f>
        <v>30</v>
      </c>
      <c r="N2" s="31">
        <f>NETWORKDAYS(B2,$R$1-1)</f>
        <v>25</v>
      </c>
      <c r="O2" s="34">
        <f>NETWORKDAYS($R$1,C2)</f>
        <v>95</v>
      </c>
      <c r="P2" s="35">
        <f t="shared" ref="P2:P20" si="3">IF(ScheduleToComplete&lt;=0,PlannedValue,IF(ScheduleToDate&lt;=0,0,(PlannedValue*ScheduleToDate/DurationDays)))</f>
        <v>31.25</v>
      </c>
      <c r="Q2" s="1" t="s">
        <v>27</v>
      </c>
      <c r="R2" s="5">
        <f>EV_metric/PV_metric</f>
        <v>0.80831618006457417</v>
      </c>
    </row>
    <row r="3" spans="1:18" x14ac:dyDescent="0.25">
      <c r="A3" s="26" t="s">
        <v>0</v>
      </c>
      <c r="B3" s="27">
        <v>43374</v>
      </c>
      <c r="C3" s="28">
        <v>43383</v>
      </c>
      <c r="D3" s="29">
        <v>30</v>
      </c>
      <c r="E3" s="30">
        <f t="shared" si="0"/>
        <v>2.5000000000000001E-2</v>
      </c>
      <c r="F3" s="31">
        <f>IF(((EndDate)=""),"",(PercentComplete)*(DurationDays))</f>
        <v>8</v>
      </c>
      <c r="G3" s="31">
        <f>IF(DaysCompleted="","",(DurationDays)-DaysCompleted)</f>
        <v>0</v>
      </c>
      <c r="H3" s="31">
        <f t="shared" ref="H3:H20" si="4">NETWORKDAYS(B3,C3)</f>
        <v>8</v>
      </c>
      <c r="I3" s="32">
        <f t="shared" ref="I3:I20" si="5">IF(EV_Date&gt;StartDate,IF(PercentComplete="",1,0),0)</f>
        <v>0</v>
      </c>
      <c r="J3" s="33">
        <f t="shared" si="1"/>
        <v>0</v>
      </c>
      <c r="K3" s="10">
        <v>60</v>
      </c>
      <c r="L3" s="11">
        <v>1</v>
      </c>
      <c r="M3" s="32">
        <f t="shared" si="2"/>
        <v>30</v>
      </c>
      <c r="N3" s="31">
        <f t="shared" ref="N3:N20" si="6">NETWORKDAYS(B3,$R$1-1)</f>
        <v>25</v>
      </c>
      <c r="O3" s="34">
        <f t="shared" ref="O3:O20" si="7">NETWORKDAYS($R$1,C3)</f>
        <v>-19</v>
      </c>
      <c r="P3" s="35">
        <f t="shared" si="3"/>
        <v>30</v>
      </c>
      <c r="Q3" s="1" t="s">
        <v>28</v>
      </c>
      <c r="R3" s="5">
        <f>EV_metric/AC_metric</f>
        <v>0.73030303030303034</v>
      </c>
    </row>
    <row r="4" spans="1:18" x14ac:dyDescent="0.25">
      <c r="A4" s="26" t="s">
        <v>1</v>
      </c>
      <c r="B4" s="27">
        <v>43383</v>
      </c>
      <c r="C4" s="28">
        <v>43404</v>
      </c>
      <c r="D4" s="29">
        <v>40</v>
      </c>
      <c r="E4" s="30">
        <f t="shared" si="0"/>
        <v>3.3333333333333333E-2</v>
      </c>
      <c r="F4" s="31">
        <f>IF(((EndDate)=""),"",(PercentComplete)*(DurationDays))</f>
        <v>14.4</v>
      </c>
      <c r="G4" s="31">
        <f>IF(DaysCompleted="","",(DurationDays)-DaysCompleted)</f>
        <v>1.5999999999999996</v>
      </c>
      <c r="H4" s="31">
        <f t="shared" si="4"/>
        <v>16</v>
      </c>
      <c r="I4" s="32">
        <f t="shared" si="5"/>
        <v>0</v>
      </c>
      <c r="J4" s="33">
        <f t="shared" si="1"/>
        <v>1</v>
      </c>
      <c r="K4" s="10">
        <v>40</v>
      </c>
      <c r="L4" s="11">
        <v>0.9</v>
      </c>
      <c r="M4" s="32">
        <f t="shared" si="2"/>
        <v>36</v>
      </c>
      <c r="N4" s="31">
        <f t="shared" si="6"/>
        <v>18</v>
      </c>
      <c r="O4" s="34">
        <f t="shared" si="7"/>
        <v>-4</v>
      </c>
      <c r="P4" s="35">
        <f t="shared" si="3"/>
        <v>40</v>
      </c>
      <c r="Q4" s="1" t="s">
        <v>32</v>
      </c>
      <c r="R4" s="5">
        <f>SUM(TempPV)</f>
        <v>298.15065681444997</v>
      </c>
    </row>
    <row r="5" spans="1:18" x14ac:dyDescent="0.25">
      <c r="A5" s="26" t="s">
        <v>2</v>
      </c>
      <c r="B5" s="27">
        <v>43383</v>
      </c>
      <c r="C5" s="28">
        <v>43393</v>
      </c>
      <c r="D5" s="29">
        <v>25</v>
      </c>
      <c r="E5" s="30">
        <f t="shared" si="0"/>
        <v>2.0833333333333332E-2</v>
      </c>
      <c r="F5" s="31">
        <f>IF(((EndDate)=""),"",(PercentComplete)*(DurationDays))</f>
        <v>6.4</v>
      </c>
      <c r="G5" s="31">
        <f>IF(DaysCompleted="","",(DurationDays)-DaysCompleted)</f>
        <v>1.5999999999999996</v>
      </c>
      <c r="H5" s="31">
        <f t="shared" si="4"/>
        <v>8</v>
      </c>
      <c r="I5" s="32">
        <f t="shared" si="5"/>
        <v>0</v>
      </c>
      <c r="J5" s="33">
        <f t="shared" si="1"/>
        <v>1</v>
      </c>
      <c r="K5" s="10">
        <v>20</v>
      </c>
      <c r="L5" s="11">
        <v>0.8</v>
      </c>
      <c r="M5" s="32">
        <f t="shared" si="2"/>
        <v>20</v>
      </c>
      <c r="N5" s="31">
        <f t="shared" si="6"/>
        <v>18</v>
      </c>
      <c r="O5" s="34">
        <f t="shared" si="7"/>
        <v>-11</v>
      </c>
      <c r="P5" s="35">
        <f t="shared" si="3"/>
        <v>25</v>
      </c>
      <c r="Q5" s="1" t="s">
        <v>33</v>
      </c>
      <c r="R5" s="5">
        <f>SUM(EV)</f>
        <v>241</v>
      </c>
    </row>
    <row r="6" spans="1:18" ht="15.75" thickBot="1" x14ac:dyDescent="0.3">
      <c r="A6" s="26" t="s">
        <v>3</v>
      </c>
      <c r="B6" s="27">
        <v>43388</v>
      </c>
      <c r="C6" s="28">
        <v>43414</v>
      </c>
      <c r="D6" s="29">
        <v>50</v>
      </c>
      <c r="E6" s="30">
        <f t="shared" si="0"/>
        <v>4.1666666666666664E-2</v>
      </c>
      <c r="F6" s="31">
        <f>IF(((EndDate)=""),"",(PercentComplete)*(DurationDays))</f>
        <v>14</v>
      </c>
      <c r="G6" s="31">
        <f>IF(DaysCompleted="","",(DurationDays)-DaysCompleted)</f>
        <v>6</v>
      </c>
      <c r="H6" s="31">
        <f t="shared" si="4"/>
        <v>20</v>
      </c>
      <c r="I6" s="32">
        <f t="shared" si="5"/>
        <v>0</v>
      </c>
      <c r="J6" s="33">
        <f t="shared" si="1"/>
        <v>0</v>
      </c>
      <c r="K6" s="10">
        <v>50</v>
      </c>
      <c r="L6" s="11">
        <v>0.7</v>
      </c>
      <c r="M6" s="32">
        <f t="shared" si="2"/>
        <v>35</v>
      </c>
      <c r="N6" s="31">
        <f t="shared" si="6"/>
        <v>15</v>
      </c>
      <c r="O6" s="34">
        <f t="shared" si="7"/>
        <v>5</v>
      </c>
      <c r="P6" s="35">
        <f t="shared" si="3"/>
        <v>37.5</v>
      </c>
      <c r="Q6" s="2" t="s">
        <v>34</v>
      </c>
      <c r="R6" s="6">
        <f>SUM(AC)</f>
        <v>330</v>
      </c>
    </row>
    <row r="7" spans="1:18" x14ac:dyDescent="0.25">
      <c r="A7" s="26" t="s">
        <v>4</v>
      </c>
      <c r="B7" s="27">
        <v>43393</v>
      </c>
      <c r="C7" s="28">
        <v>43414</v>
      </c>
      <c r="D7" s="29">
        <v>50</v>
      </c>
      <c r="E7" s="30">
        <f t="shared" si="0"/>
        <v>4.1666666666666664E-2</v>
      </c>
      <c r="F7" s="31">
        <f>IF(((EndDate)=""),"",(PercentComplete)*(DurationDays))</f>
        <v>9</v>
      </c>
      <c r="G7" s="31">
        <f>IF(DaysCompleted="","",(DurationDays)-DaysCompleted)</f>
        <v>6</v>
      </c>
      <c r="H7" s="31">
        <f t="shared" si="4"/>
        <v>15</v>
      </c>
      <c r="I7" s="32">
        <f t="shared" si="5"/>
        <v>0</v>
      </c>
      <c r="J7" s="33">
        <f t="shared" si="1"/>
        <v>0</v>
      </c>
      <c r="K7" s="10">
        <v>50</v>
      </c>
      <c r="L7" s="11">
        <v>0.6</v>
      </c>
      <c r="M7" s="32">
        <f t="shared" si="2"/>
        <v>30</v>
      </c>
      <c r="N7" s="31">
        <f t="shared" si="6"/>
        <v>10</v>
      </c>
      <c r="O7" s="34">
        <f t="shared" si="7"/>
        <v>5</v>
      </c>
      <c r="P7" s="35">
        <f t="shared" si="3"/>
        <v>33.333333333333336</v>
      </c>
    </row>
    <row r="8" spans="1:18" x14ac:dyDescent="0.25">
      <c r="A8" s="26" t="s">
        <v>5</v>
      </c>
      <c r="B8" s="27">
        <v>43393</v>
      </c>
      <c r="C8" s="28">
        <v>43434</v>
      </c>
      <c r="D8" s="29">
        <v>100</v>
      </c>
      <c r="E8" s="30">
        <f t="shared" si="0"/>
        <v>8.3333333333333329E-2</v>
      </c>
      <c r="F8" s="31">
        <f>IF(((EndDate)=""),"",(PercentComplete)*(DurationDays))</f>
        <v>9.9</v>
      </c>
      <c r="G8" s="31">
        <f>IF(DaysCompleted="","",(DurationDays)-DaysCompleted)</f>
        <v>20.100000000000001</v>
      </c>
      <c r="H8" s="31">
        <f t="shared" si="4"/>
        <v>30</v>
      </c>
      <c r="I8" s="32">
        <f t="shared" si="5"/>
        <v>0</v>
      </c>
      <c r="J8" s="33">
        <f t="shared" si="1"/>
        <v>0</v>
      </c>
      <c r="K8" s="10">
        <v>30</v>
      </c>
      <c r="L8" s="11">
        <v>0.33</v>
      </c>
      <c r="M8" s="32">
        <f t="shared" si="2"/>
        <v>33</v>
      </c>
      <c r="N8" s="31">
        <f t="shared" si="6"/>
        <v>10</v>
      </c>
      <c r="O8" s="34">
        <f t="shared" si="7"/>
        <v>20</v>
      </c>
      <c r="P8" s="35">
        <f t="shared" si="3"/>
        <v>33.333333333333336</v>
      </c>
    </row>
    <row r="9" spans="1:18" x14ac:dyDescent="0.25">
      <c r="A9" s="26" t="s">
        <v>6</v>
      </c>
      <c r="B9" s="27">
        <v>43393</v>
      </c>
      <c r="C9" s="28">
        <v>43414</v>
      </c>
      <c r="D9" s="29">
        <v>40</v>
      </c>
      <c r="E9" s="30">
        <f t="shared" si="0"/>
        <v>3.3333333333333333E-2</v>
      </c>
      <c r="F9" s="31">
        <f>IF(((EndDate)=""),"",(PercentComplete)*(DurationDays))</f>
        <v>4.5</v>
      </c>
      <c r="G9" s="31">
        <f>IF(DaysCompleted="","",(DurationDays)-DaysCompleted)</f>
        <v>10.5</v>
      </c>
      <c r="H9" s="31">
        <f t="shared" si="4"/>
        <v>15</v>
      </c>
      <c r="I9" s="32">
        <f t="shared" si="5"/>
        <v>0</v>
      </c>
      <c r="J9" s="33">
        <f t="shared" si="1"/>
        <v>0</v>
      </c>
      <c r="K9" s="10">
        <v>25</v>
      </c>
      <c r="L9" s="11">
        <v>0.3</v>
      </c>
      <c r="M9" s="32">
        <f t="shared" si="2"/>
        <v>12</v>
      </c>
      <c r="N9" s="31">
        <f t="shared" si="6"/>
        <v>10</v>
      </c>
      <c r="O9" s="34">
        <f t="shared" si="7"/>
        <v>5</v>
      </c>
      <c r="P9" s="35">
        <f t="shared" si="3"/>
        <v>26.666666666666668</v>
      </c>
    </row>
    <row r="10" spans="1:18" x14ac:dyDescent="0.25">
      <c r="A10" s="26" t="s">
        <v>7</v>
      </c>
      <c r="B10" s="27">
        <v>43405</v>
      </c>
      <c r="C10" s="28">
        <v>43414</v>
      </c>
      <c r="D10" s="29">
        <v>25</v>
      </c>
      <c r="E10" s="30">
        <f t="shared" si="0"/>
        <v>2.0833333333333332E-2</v>
      </c>
      <c r="F10" s="31">
        <f>IF(((EndDate)=""),"",(PercentComplete)*(DurationDays))</f>
        <v>0</v>
      </c>
      <c r="G10" s="31">
        <f>IF(DaysCompleted="","",(DurationDays)-DaysCompleted)</f>
        <v>7</v>
      </c>
      <c r="H10" s="31">
        <f t="shared" si="4"/>
        <v>7</v>
      </c>
      <c r="I10" s="32">
        <f t="shared" si="5"/>
        <v>1</v>
      </c>
      <c r="J10" s="33">
        <f t="shared" si="1"/>
        <v>0</v>
      </c>
      <c r="K10" s="10"/>
      <c r="L10" s="11"/>
      <c r="M10" s="32">
        <f t="shared" si="2"/>
        <v>0</v>
      </c>
      <c r="N10" s="31">
        <f t="shared" si="6"/>
        <v>2</v>
      </c>
      <c r="O10" s="34">
        <f t="shared" si="7"/>
        <v>5</v>
      </c>
      <c r="P10" s="35">
        <f t="shared" si="3"/>
        <v>7.1428571428571432</v>
      </c>
      <c r="Q10" s="57"/>
      <c r="R10" s="57"/>
    </row>
    <row r="11" spans="1:18" x14ac:dyDescent="0.25">
      <c r="A11" s="26" t="s">
        <v>8</v>
      </c>
      <c r="B11" s="27">
        <v>43419</v>
      </c>
      <c r="C11" s="28">
        <v>43447</v>
      </c>
      <c r="D11" s="29">
        <v>50</v>
      </c>
      <c r="E11" s="30">
        <f t="shared" si="0"/>
        <v>4.1666666666666664E-2</v>
      </c>
      <c r="F11" s="31">
        <f>IF(((EndDate)=""),"",(PercentComplete)*(DurationDays))</f>
        <v>0</v>
      </c>
      <c r="G11" s="31">
        <f>IF(DaysCompleted="","",(DurationDays)-DaysCompleted)</f>
        <v>21</v>
      </c>
      <c r="H11" s="31">
        <f t="shared" si="4"/>
        <v>21</v>
      </c>
      <c r="I11" s="32">
        <f t="shared" si="5"/>
        <v>0</v>
      </c>
      <c r="J11" s="33">
        <f t="shared" si="1"/>
        <v>0</v>
      </c>
      <c r="K11" s="10"/>
      <c r="L11" s="11"/>
      <c r="M11" s="32">
        <f t="shared" si="2"/>
        <v>0</v>
      </c>
      <c r="N11" s="31">
        <f t="shared" si="6"/>
        <v>-9</v>
      </c>
      <c r="O11" s="34">
        <f t="shared" si="7"/>
        <v>29</v>
      </c>
      <c r="P11" s="35">
        <f t="shared" si="3"/>
        <v>0</v>
      </c>
      <c r="Q11" s="62" t="s">
        <v>40</v>
      </c>
      <c r="R11" s="63"/>
    </row>
    <row r="12" spans="1:18" x14ac:dyDescent="0.25">
      <c r="A12" s="26" t="s">
        <v>9</v>
      </c>
      <c r="B12" s="27">
        <v>43434</v>
      </c>
      <c r="C12" s="28">
        <v>43444</v>
      </c>
      <c r="D12" s="29">
        <v>25</v>
      </c>
      <c r="E12" s="30">
        <f t="shared" si="0"/>
        <v>2.0833333333333332E-2</v>
      </c>
      <c r="F12" s="31">
        <f>IF(((EndDate)=""),"",(PercentComplete)*(DurationDays))</f>
        <v>0</v>
      </c>
      <c r="G12" s="31">
        <f>IF(DaysCompleted="","",(DurationDays)-DaysCompleted)</f>
        <v>7</v>
      </c>
      <c r="H12" s="31">
        <f t="shared" si="4"/>
        <v>7</v>
      </c>
      <c r="I12" s="32">
        <f t="shared" si="5"/>
        <v>0</v>
      </c>
      <c r="J12" s="33">
        <f t="shared" si="1"/>
        <v>0</v>
      </c>
      <c r="K12" s="10"/>
      <c r="L12" s="11"/>
      <c r="M12" s="32">
        <f t="shared" si="2"/>
        <v>0</v>
      </c>
      <c r="N12" s="31">
        <f t="shared" si="6"/>
        <v>-20</v>
      </c>
      <c r="O12" s="34">
        <f t="shared" si="7"/>
        <v>26</v>
      </c>
      <c r="P12" s="35">
        <f t="shared" si="3"/>
        <v>0</v>
      </c>
      <c r="Q12" s="57"/>
      <c r="R12" s="57"/>
    </row>
    <row r="13" spans="1:18" x14ac:dyDescent="0.25">
      <c r="A13" s="26" t="s">
        <v>10</v>
      </c>
      <c r="B13" s="27">
        <v>43403</v>
      </c>
      <c r="C13" s="28">
        <v>43444</v>
      </c>
      <c r="D13" s="29">
        <v>100</v>
      </c>
      <c r="E13" s="30">
        <f t="shared" si="0"/>
        <v>8.3333333333333329E-2</v>
      </c>
      <c r="F13" s="31">
        <f>IF(((EndDate)=""),"",(PercentComplete)*(DurationDays))</f>
        <v>0</v>
      </c>
      <c r="G13" s="31">
        <f>IF(DaysCompleted="","",(DurationDays)-DaysCompleted)</f>
        <v>30</v>
      </c>
      <c r="H13" s="31">
        <f t="shared" si="4"/>
        <v>30</v>
      </c>
      <c r="I13" s="32">
        <f t="shared" si="5"/>
        <v>1</v>
      </c>
      <c r="J13" s="33">
        <f t="shared" si="1"/>
        <v>0</v>
      </c>
      <c r="K13" s="10"/>
      <c r="L13" s="11"/>
      <c r="M13" s="32">
        <f t="shared" si="2"/>
        <v>0</v>
      </c>
      <c r="N13" s="31">
        <f t="shared" si="6"/>
        <v>4</v>
      </c>
      <c r="O13" s="34">
        <f t="shared" si="7"/>
        <v>26</v>
      </c>
      <c r="P13" s="35">
        <f t="shared" si="3"/>
        <v>13.333333333333334</v>
      </c>
      <c r="Q13" s="59" t="s">
        <v>41</v>
      </c>
      <c r="R13" s="60"/>
    </row>
    <row r="14" spans="1:18" x14ac:dyDescent="0.25">
      <c r="A14" s="26" t="s">
        <v>11</v>
      </c>
      <c r="B14" s="27">
        <v>43439</v>
      </c>
      <c r="C14" s="28">
        <v>43449</v>
      </c>
      <c r="D14" s="29">
        <v>30</v>
      </c>
      <c r="E14" s="30">
        <f t="shared" si="0"/>
        <v>2.5000000000000001E-2</v>
      </c>
      <c r="F14" s="31">
        <f>IF(((EndDate)=""),"",(PercentComplete)*(DurationDays))</f>
        <v>0</v>
      </c>
      <c r="G14" s="31">
        <f>IF(DaysCompleted="","",(DurationDays)-DaysCompleted)</f>
        <v>8</v>
      </c>
      <c r="H14" s="31">
        <f t="shared" si="4"/>
        <v>8</v>
      </c>
      <c r="I14" s="32">
        <f t="shared" si="5"/>
        <v>0</v>
      </c>
      <c r="J14" s="33">
        <f t="shared" si="1"/>
        <v>0</v>
      </c>
      <c r="K14" s="10"/>
      <c r="L14" s="11"/>
      <c r="M14" s="32">
        <f t="shared" si="2"/>
        <v>0</v>
      </c>
      <c r="N14" s="31">
        <f t="shared" si="6"/>
        <v>-23</v>
      </c>
      <c r="O14" s="34">
        <f t="shared" si="7"/>
        <v>30</v>
      </c>
      <c r="P14" s="35">
        <f t="shared" si="3"/>
        <v>0</v>
      </c>
      <c r="Q14" s="61"/>
      <c r="R14" s="60"/>
    </row>
    <row r="15" spans="1:18" x14ac:dyDescent="0.25">
      <c r="A15" s="26" t="s">
        <v>12</v>
      </c>
      <c r="B15" s="27">
        <v>43405</v>
      </c>
      <c r="C15" s="28">
        <v>43525</v>
      </c>
      <c r="D15" s="29">
        <v>150</v>
      </c>
      <c r="E15" s="30">
        <f t="shared" si="0"/>
        <v>0.125</v>
      </c>
      <c r="F15" s="31">
        <f>IF(((EndDate)=""),"",(PercentComplete)*(DurationDays))</f>
        <v>8.7000000000000011</v>
      </c>
      <c r="G15" s="31">
        <f>IF(DaysCompleted="","",(DurationDays)-DaysCompleted)</f>
        <v>78.3</v>
      </c>
      <c r="H15" s="31">
        <f t="shared" si="4"/>
        <v>87</v>
      </c>
      <c r="I15" s="32">
        <f t="shared" si="5"/>
        <v>0</v>
      </c>
      <c r="J15" s="33">
        <f t="shared" si="1"/>
        <v>0</v>
      </c>
      <c r="K15" s="10">
        <v>15</v>
      </c>
      <c r="L15" s="11">
        <v>0.1</v>
      </c>
      <c r="M15" s="32">
        <f t="shared" si="2"/>
        <v>15</v>
      </c>
      <c r="N15" s="31">
        <f t="shared" si="6"/>
        <v>2</v>
      </c>
      <c r="O15" s="34">
        <f t="shared" si="7"/>
        <v>85</v>
      </c>
      <c r="P15" s="35">
        <f t="shared" si="3"/>
        <v>3.4482758620689653</v>
      </c>
      <c r="Q15" s="57"/>
      <c r="R15" s="57"/>
    </row>
    <row r="16" spans="1:18" x14ac:dyDescent="0.25">
      <c r="A16" s="26" t="s">
        <v>13</v>
      </c>
      <c r="B16" s="27">
        <v>43405</v>
      </c>
      <c r="C16" s="28">
        <v>43414</v>
      </c>
      <c r="D16" s="29">
        <v>60</v>
      </c>
      <c r="E16" s="30">
        <f t="shared" si="0"/>
        <v>0.05</v>
      </c>
      <c r="F16" s="31">
        <f>IF(((EndDate)=""),"",(PercentComplete)*(DurationDays))</f>
        <v>0</v>
      </c>
      <c r="G16" s="31">
        <f>IF(DaysCompleted="","",(DurationDays)-DaysCompleted)</f>
        <v>7</v>
      </c>
      <c r="H16" s="31">
        <f t="shared" si="4"/>
        <v>7</v>
      </c>
      <c r="I16" s="32">
        <f t="shared" si="5"/>
        <v>1</v>
      </c>
      <c r="J16" s="33">
        <f t="shared" si="1"/>
        <v>0</v>
      </c>
      <c r="K16" s="10"/>
      <c r="L16" s="11"/>
      <c r="M16" s="32">
        <f t="shared" si="2"/>
        <v>0</v>
      </c>
      <c r="N16" s="31">
        <f t="shared" si="6"/>
        <v>2</v>
      </c>
      <c r="O16" s="34">
        <f t="shared" si="7"/>
        <v>5</v>
      </c>
      <c r="P16" s="35">
        <f t="shared" si="3"/>
        <v>17.142857142857142</v>
      </c>
      <c r="Q16" s="64" t="s">
        <v>42</v>
      </c>
      <c r="R16" s="65"/>
    </row>
    <row r="17" spans="1:18" x14ac:dyDescent="0.25">
      <c r="A17" s="26" t="s">
        <v>14</v>
      </c>
      <c r="B17" s="27">
        <v>43419</v>
      </c>
      <c r="C17" s="28">
        <v>43449</v>
      </c>
      <c r="D17" s="29">
        <v>45</v>
      </c>
      <c r="E17" s="30">
        <f t="shared" si="0"/>
        <v>3.7499999999999999E-2</v>
      </c>
      <c r="F17" s="31">
        <f>IF(((EndDate)=""),"",(PercentComplete)*(DurationDays))</f>
        <v>0</v>
      </c>
      <c r="G17" s="31">
        <f>IF(DaysCompleted="","",(DurationDays)-DaysCompleted)</f>
        <v>22</v>
      </c>
      <c r="H17" s="31">
        <f t="shared" si="4"/>
        <v>22</v>
      </c>
      <c r="I17" s="32">
        <f t="shared" si="5"/>
        <v>0</v>
      </c>
      <c r="J17" s="33">
        <f t="shared" si="1"/>
        <v>0</v>
      </c>
      <c r="K17" s="10"/>
      <c r="L17" s="11"/>
      <c r="M17" s="32">
        <f t="shared" si="2"/>
        <v>0</v>
      </c>
      <c r="N17" s="31">
        <f t="shared" si="6"/>
        <v>-9</v>
      </c>
      <c r="O17" s="34">
        <f t="shared" si="7"/>
        <v>30</v>
      </c>
      <c r="P17" s="35">
        <f t="shared" si="3"/>
        <v>0</v>
      </c>
      <c r="Q17" s="66"/>
      <c r="R17" s="65"/>
    </row>
    <row r="18" spans="1:18" x14ac:dyDescent="0.25">
      <c r="A18" s="26" t="s">
        <v>15</v>
      </c>
      <c r="B18" s="27">
        <v>43480</v>
      </c>
      <c r="C18" s="28">
        <v>43495</v>
      </c>
      <c r="D18" s="29">
        <v>30</v>
      </c>
      <c r="E18" s="30">
        <f t="shared" si="0"/>
        <v>2.5000000000000001E-2</v>
      </c>
      <c r="F18" s="31">
        <f>IF(((EndDate)=""),"",(PercentComplete)*(DurationDays))</f>
        <v>0</v>
      </c>
      <c r="G18" s="31">
        <f>IF(DaysCompleted="","",(DurationDays)-DaysCompleted)</f>
        <v>12</v>
      </c>
      <c r="H18" s="31">
        <f t="shared" si="4"/>
        <v>12</v>
      </c>
      <c r="I18" s="32">
        <f t="shared" si="5"/>
        <v>0</v>
      </c>
      <c r="J18" s="33">
        <f t="shared" si="1"/>
        <v>0</v>
      </c>
      <c r="K18" s="10"/>
      <c r="L18" s="11"/>
      <c r="M18" s="32">
        <f t="shared" si="2"/>
        <v>0</v>
      </c>
      <c r="N18" s="31">
        <f t="shared" si="6"/>
        <v>-52</v>
      </c>
      <c r="O18" s="34">
        <f t="shared" si="7"/>
        <v>63</v>
      </c>
      <c r="P18" s="35">
        <f t="shared" si="3"/>
        <v>0</v>
      </c>
      <c r="Q18" s="58"/>
      <c r="R18" s="57"/>
    </row>
    <row r="19" spans="1:18" x14ac:dyDescent="0.25">
      <c r="A19" s="26" t="s">
        <v>16</v>
      </c>
      <c r="B19" s="27">
        <v>43495</v>
      </c>
      <c r="C19" s="28">
        <v>43524</v>
      </c>
      <c r="D19" s="29">
        <v>50</v>
      </c>
      <c r="E19" s="30">
        <f t="shared" si="0"/>
        <v>4.1666666666666664E-2</v>
      </c>
      <c r="F19" s="31">
        <f>IF(((EndDate)=""),"",(PercentComplete)*(DurationDays))</f>
        <v>0</v>
      </c>
      <c r="G19" s="31">
        <f>IF(DaysCompleted="","",(DurationDays)-DaysCompleted)</f>
        <v>22</v>
      </c>
      <c r="H19" s="31">
        <f t="shared" si="4"/>
        <v>22</v>
      </c>
      <c r="I19" s="32">
        <f t="shared" si="5"/>
        <v>0</v>
      </c>
      <c r="J19" s="33">
        <f t="shared" si="1"/>
        <v>0</v>
      </c>
      <c r="K19" s="10"/>
      <c r="L19" s="11"/>
      <c r="M19" s="32">
        <f t="shared" si="2"/>
        <v>0</v>
      </c>
      <c r="N19" s="31">
        <f t="shared" si="6"/>
        <v>-63</v>
      </c>
      <c r="O19" s="34">
        <f t="shared" si="7"/>
        <v>84</v>
      </c>
      <c r="P19" s="35">
        <f t="shared" si="3"/>
        <v>0</v>
      </c>
      <c r="Q19" s="67" t="s">
        <v>84</v>
      </c>
      <c r="R19" s="68"/>
    </row>
    <row r="20" spans="1:18" ht="15.75" thickBot="1" x14ac:dyDescent="0.3">
      <c r="A20" s="37" t="s">
        <v>21</v>
      </c>
      <c r="B20" s="38">
        <v>43525</v>
      </c>
      <c r="C20" s="39">
        <v>43539</v>
      </c>
      <c r="D20" s="40">
        <v>150</v>
      </c>
      <c r="E20" s="41">
        <f t="shared" si="0"/>
        <v>0.125</v>
      </c>
      <c r="F20" s="42">
        <f>IF(((EndDate)=""),"",(PercentComplete)*(DurationDays))</f>
        <v>0</v>
      </c>
      <c r="G20" s="42">
        <f>IF(DaysCompleted="","",(DurationDays)-DaysCompleted)</f>
        <v>11</v>
      </c>
      <c r="H20" s="42">
        <f t="shared" si="4"/>
        <v>11</v>
      </c>
      <c r="I20" s="43">
        <f t="shared" si="5"/>
        <v>0</v>
      </c>
      <c r="J20" s="44">
        <f t="shared" si="1"/>
        <v>0</v>
      </c>
      <c r="K20" s="13"/>
      <c r="L20" s="14"/>
      <c r="M20" s="43">
        <f t="shared" si="2"/>
        <v>0</v>
      </c>
      <c r="N20" s="42">
        <f t="shared" si="6"/>
        <v>-85</v>
      </c>
      <c r="O20" s="42">
        <f t="shared" si="7"/>
        <v>95</v>
      </c>
      <c r="P20" s="45">
        <f t="shared" si="3"/>
        <v>0</v>
      </c>
      <c r="Q20" s="69"/>
      <c r="R20" s="68"/>
    </row>
  </sheetData>
  <mergeCells count="4">
    <mergeCell ref="Q13:R14"/>
    <mergeCell ref="Q11:R11"/>
    <mergeCell ref="Q16:R17"/>
    <mergeCell ref="Q19:R20"/>
  </mergeCells>
  <conditionalFormatting sqref="B1:B1048576">
    <cfRule type="expression" dxfId="1" priority="2">
      <formula>$I1=1</formula>
    </cfRule>
  </conditionalFormatting>
  <conditionalFormatting sqref="C1:C1048576">
    <cfRule type="expression" dxfId="0" priority="1">
      <formula>$J1=1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Update_EV_History">
          <controlPr defaultSize="0" autoLine="0" autoPict="0" r:id="rId5">
            <anchor moveWithCells="1">
              <from>
                <xdr:col>16</xdr:col>
                <xdr:colOff>19050</xdr:colOff>
                <xdr:row>6</xdr:row>
                <xdr:rowOff>9525</xdr:rowOff>
              </from>
              <to>
                <xdr:col>17</xdr:col>
                <xdr:colOff>447675</xdr:colOff>
                <xdr:row>8</xdr:row>
                <xdr:rowOff>190500</xdr:rowOff>
              </to>
            </anchor>
          </controlPr>
        </control>
      </mc:Choice>
      <mc:Fallback>
        <control shapeId="1037" r:id="rId4" name="Update_EV_Histor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CF53A-F275-440D-A585-83DFE7D32D8D}">
  <sheetPr codeName="Sheet3"/>
  <dimension ref="A1:F10"/>
  <sheetViews>
    <sheetView workbookViewId="0">
      <selection activeCell="H21" sqref="H21"/>
    </sheetView>
  </sheetViews>
  <sheetFormatPr defaultRowHeight="15" x14ac:dyDescent="0.25"/>
  <cols>
    <col min="1" max="1" width="15.7109375" style="3" customWidth="1"/>
    <col min="2" max="6" width="15.7109375" style="4" customWidth="1"/>
  </cols>
  <sheetData>
    <row r="1" spans="1:6" x14ac:dyDescent="0.25">
      <c r="A1" s="3" t="s">
        <v>37</v>
      </c>
      <c r="B1" s="4" t="s">
        <v>35</v>
      </c>
      <c r="C1" s="4" t="s">
        <v>36</v>
      </c>
      <c r="D1" s="4" t="s">
        <v>29</v>
      </c>
      <c r="E1" s="4" t="s">
        <v>30</v>
      </c>
      <c r="F1" s="4" t="s">
        <v>31</v>
      </c>
    </row>
    <row r="2" spans="1:6" x14ac:dyDescent="0.25">
      <c r="A2" s="3">
        <v>43404</v>
      </c>
      <c r="B2" s="4">
        <v>1.0633981045950482</v>
      </c>
      <c r="C2" s="4">
        <v>0.88727272727272732</v>
      </c>
      <c r="D2" s="4">
        <v>229.45310786774201</v>
      </c>
      <c r="E2" s="4">
        <v>244</v>
      </c>
      <c r="F2" s="4">
        <v>275</v>
      </c>
    </row>
    <row r="3" spans="1:6" x14ac:dyDescent="0.25">
      <c r="A3" s="3">
        <v>43414</v>
      </c>
      <c r="B3" s="4">
        <v>0.50935414658415989</v>
      </c>
      <c r="C3" s="4">
        <v>0.76949152542372878</v>
      </c>
      <c r="D3" s="4">
        <v>445.66241685144126</v>
      </c>
      <c r="E3" s="4">
        <v>227</v>
      </c>
      <c r="F3" s="4">
        <v>295</v>
      </c>
    </row>
    <row r="4" spans="1:6" x14ac:dyDescent="0.25">
      <c r="A4" s="3">
        <v>43403</v>
      </c>
      <c r="B4" s="4">
        <v>1.0531081265406306</v>
      </c>
      <c r="C4" s="4">
        <v>0.76949152542372878</v>
      </c>
      <c r="D4" s="4">
        <v>215.55241506461016</v>
      </c>
      <c r="E4" s="4">
        <v>227</v>
      </c>
      <c r="F4" s="4">
        <v>295</v>
      </c>
    </row>
    <row r="5" spans="1:6" x14ac:dyDescent="0.25">
      <c r="A5" s="3">
        <v>43409</v>
      </c>
      <c r="B5" s="4">
        <v>0.72544356931103471</v>
      </c>
      <c r="C5" s="4">
        <v>0.73030303030303034</v>
      </c>
      <c r="D5" s="4">
        <v>332.21054013736938</v>
      </c>
      <c r="E5" s="4">
        <v>241</v>
      </c>
      <c r="F5" s="4">
        <v>330</v>
      </c>
    </row>
    <row r="6" spans="1:6" x14ac:dyDescent="0.25">
      <c r="A6" s="3">
        <v>43409</v>
      </c>
      <c r="B6" s="4">
        <v>0.72544356931103471</v>
      </c>
      <c r="C6" s="4">
        <v>0.73030303030303034</v>
      </c>
      <c r="D6" s="4">
        <v>332.21054013736938</v>
      </c>
      <c r="E6" s="4">
        <v>241</v>
      </c>
      <c r="F6" s="4">
        <v>330</v>
      </c>
    </row>
    <row r="7" spans="1:6" x14ac:dyDescent="0.25">
      <c r="A7" s="3">
        <v>43409</v>
      </c>
      <c r="B7" s="4">
        <v>0.72544356931103471</v>
      </c>
      <c r="C7" s="4">
        <v>0.73030303030303034</v>
      </c>
      <c r="D7" s="4">
        <v>332.21054013736938</v>
      </c>
      <c r="E7" s="4">
        <v>241</v>
      </c>
      <c r="F7" s="4">
        <v>330</v>
      </c>
    </row>
    <row r="8" spans="1:6" x14ac:dyDescent="0.25">
      <c r="A8" s="3">
        <v>43409</v>
      </c>
      <c r="B8" s="4">
        <v>0.72544356931103471</v>
      </c>
      <c r="C8" s="4">
        <v>0.73030303030303034</v>
      </c>
      <c r="D8" s="4">
        <v>332.21054013736938</v>
      </c>
      <c r="E8" s="4">
        <v>241</v>
      </c>
      <c r="F8" s="4">
        <v>330</v>
      </c>
    </row>
    <row r="9" spans="1:6" x14ac:dyDescent="0.25">
      <c r="A9" s="3">
        <v>43409</v>
      </c>
      <c r="B9" s="4">
        <v>0.72544356931103471</v>
      </c>
      <c r="C9" s="4">
        <v>0.73030303030303034</v>
      </c>
      <c r="D9" s="4">
        <v>332.21054013736938</v>
      </c>
      <c r="E9" s="4">
        <v>241</v>
      </c>
      <c r="F9" s="4">
        <v>330</v>
      </c>
    </row>
    <row r="10" spans="1:6" x14ac:dyDescent="0.25">
      <c r="A10" s="3">
        <v>43409</v>
      </c>
      <c r="B10" s="4">
        <v>0.80831618006457417</v>
      </c>
      <c r="C10" s="4">
        <v>0.73030303030303034</v>
      </c>
      <c r="D10" s="4">
        <v>298.15065681444997</v>
      </c>
      <c r="E10" s="4">
        <v>241</v>
      </c>
      <c r="F10" s="4">
        <v>330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A00B0-88DE-4FB2-ADE4-4D0578DA528C}">
  <dimension ref="A1:D28"/>
  <sheetViews>
    <sheetView topLeftCell="A15" workbookViewId="0">
      <selection activeCell="H24" sqref="H24"/>
    </sheetView>
  </sheetViews>
  <sheetFormatPr defaultRowHeight="15" x14ac:dyDescent="0.25"/>
  <cols>
    <col min="1" max="1" width="19.140625" bestFit="1" customWidth="1"/>
    <col min="2" max="2" width="56.28515625" customWidth="1"/>
    <col min="3" max="3" width="9.28515625" customWidth="1"/>
    <col min="4" max="4" width="73" bestFit="1" customWidth="1"/>
  </cols>
  <sheetData>
    <row r="1" spans="1:4" x14ac:dyDescent="0.25">
      <c r="A1" s="51" t="s">
        <v>50</v>
      </c>
      <c r="B1" s="49" t="s">
        <v>68</v>
      </c>
    </row>
    <row r="2" spans="1:4" x14ac:dyDescent="0.25">
      <c r="A2" s="51" t="s">
        <v>51</v>
      </c>
      <c r="B2" s="49" t="s">
        <v>69</v>
      </c>
    </row>
    <row r="3" spans="1:4" x14ac:dyDescent="0.25">
      <c r="A3" s="51" t="s">
        <v>52</v>
      </c>
      <c r="B3" s="49" t="s">
        <v>70</v>
      </c>
    </row>
    <row r="4" spans="1:4" x14ac:dyDescent="0.25">
      <c r="A4" s="52" t="s">
        <v>48</v>
      </c>
      <c r="B4" s="50" t="s">
        <v>66</v>
      </c>
    </row>
    <row r="5" spans="1:4" x14ac:dyDescent="0.25">
      <c r="A5" s="52" t="s">
        <v>49</v>
      </c>
      <c r="B5" s="50" t="s">
        <v>67</v>
      </c>
    </row>
    <row r="6" spans="1:4" x14ac:dyDescent="0.25">
      <c r="A6" s="56" t="s">
        <v>72</v>
      </c>
      <c r="B6" s="55" t="s">
        <v>86</v>
      </c>
    </row>
    <row r="8" spans="1:4" x14ac:dyDescent="0.25">
      <c r="A8" s="53" t="s">
        <v>17</v>
      </c>
      <c r="B8" t="s">
        <v>87</v>
      </c>
    </row>
    <row r="9" spans="1:4" x14ac:dyDescent="0.25">
      <c r="A9" s="53" t="s">
        <v>18</v>
      </c>
      <c r="B9" t="s">
        <v>87</v>
      </c>
    </row>
    <row r="10" spans="1:4" x14ac:dyDescent="0.25">
      <c r="A10" s="53" t="s">
        <v>85</v>
      </c>
      <c r="B10" t="s">
        <v>87</v>
      </c>
    </row>
    <row r="11" spans="1:4" x14ac:dyDescent="0.25">
      <c r="A11" s="53" t="s">
        <v>44</v>
      </c>
      <c r="B11" t="s">
        <v>87</v>
      </c>
      <c r="C11" t="s">
        <v>53</v>
      </c>
    </row>
    <row r="12" spans="1:4" x14ac:dyDescent="0.25">
      <c r="A12" s="51" t="s">
        <v>20</v>
      </c>
      <c r="B12" s="49" t="s">
        <v>73</v>
      </c>
    </row>
    <row r="13" spans="1:4" x14ac:dyDescent="0.25">
      <c r="A13" s="51" t="s">
        <v>19</v>
      </c>
      <c r="B13" s="49" t="s">
        <v>74</v>
      </c>
    </row>
    <row r="14" spans="1:4" x14ac:dyDescent="0.25">
      <c r="A14" s="51" t="s">
        <v>22</v>
      </c>
      <c r="B14" s="49" t="s">
        <v>75</v>
      </c>
    </row>
    <row r="15" spans="1:4" x14ac:dyDescent="0.25">
      <c r="A15" s="51" t="s">
        <v>38</v>
      </c>
      <c r="B15" s="49" t="s">
        <v>57</v>
      </c>
      <c r="C15" s="49" t="s">
        <v>54</v>
      </c>
      <c r="D15" s="49"/>
    </row>
    <row r="16" spans="1:4" x14ac:dyDescent="0.25">
      <c r="A16" s="51" t="s">
        <v>39</v>
      </c>
      <c r="B16" s="49" t="s">
        <v>56</v>
      </c>
      <c r="C16" s="49" t="s">
        <v>55</v>
      </c>
    </row>
    <row r="17" spans="1:4" x14ac:dyDescent="0.25">
      <c r="A17" s="54" t="s">
        <v>45</v>
      </c>
      <c r="B17" t="s">
        <v>58</v>
      </c>
    </row>
    <row r="18" spans="1:4" x14ac:dyDescent="0.25">
      <c r="A18" s="54" t="s">
        <v>24</v>
      </c>
      <c r="B18" t="s">
        <v>59</v>
      </c>
    </row>
    <row r="19" spans="1:4" x14ac:dyDescent="0.25">
      <c r="A19" s="51" t="s">
        <v>46</v>
      </c>
      <c r="B19" t="s">
        <v>60</v>
      </c>
    </row>
    <row r="20" spans="1:4" x14ac:dyDescent="0.25">
      <c r="A20" s="51" t="s">
        <v>26</v>
      </c>
      <c r="B20" s="49" t="s">
        <v>61</v>
      </c>
      <c r="C20" t="s">
        <v>63</v>
      </c>
    </row>
    <row r="21" spans="1:4" x14ac:dyDescent="0.25">
      <c r="A21" s="51" t="s">
        <v>43</v>
      </c>
      <c r="B21" s="49" t="s">
        <v>62</v>
      </c>
      <c r="C21" t="s">
        <v>64</v>
      </c>
    </row>
    <row r="22" spans="1:4" x14ac:dyDescent="0.25">
      <c r="A22" s="51" t="s">
        <v>47</v>
      </c>
      <c r="B22" s="49" t="s">
        <v>65</v>
      </c>
    </row>
    <row r="23" spans="1:4" x14ac:dyDescent="0.25">
      <c r="A23" s="49" t="s">
        <v>71</v>
      </c>
      <c r="B23" s="49" t="s">
        <v>80</v>
      </c>
      <c r="C23" s="49" t="s">
        <v>76</v>
      </c>
      <c r="D23" s="49" t="s">
        <v>77</v>
      </c>
    </row>
    <row r="24" spans="1:4" x14ac:dyDescent="0.25">
      <c r="B24" s="49" t="s">
        <v>80</v>
      </c>
      <c r="C24" s="49" t="s">
        <v>78</v>
      </c>
      <c r="D24" s="49" t="s">
        <v>82</v>
      </c>
    </row>
    <row r="26" spans="1:4" x14ac:dyDescent="0.25">
      <c r="B26" s="49" t="s">
        <v>79</v>
      </c>
      <c r="C26" t="s">
        <v>76</v>
      </c>
      <c r="D26" s="49" t="s">
        <v>81</v>
      </c>
    </row>
    <row r="27" spans="1:4" x14ac:dyDescent="0.25">
      <c r="B27" s="49" t="s">
        <v>79</v>
      </c>
      <c r="C27" t="s">
        <v>78</v>
      </c>
      <c r="D27" s="49" t="s">
        <v>88</v>
      </c>
    </row>
    <row r="28" spans="1:4" x14ac:dyDescent="0.25">
      <c r="D28" s="49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EngDesignGanttData</vt:lpstr>
      <vt:lpstr>EV_History</vt:lpstr>
      <vt:lpstr>Legend</vt:lpstr>
      <vt:lpstr>EngDesignGanttChart</vt:lpstr>
      <vt:lpstr>AC</vt:lpstr>
      <vt:lpstr>AC_metric</vt:lpstr>
      <vt:lpstr>Activities</vt:lpstr>
      <vt:lpstr>CPI_metric</vt:lpstr>
      <vt:lpstr>DaysCompleted</vt:lpstr>
      <vt:lpstr>DaysRemaining</vt:lpstr>
      <vt:lpstr>DurationDays</vt:lpstr>
      <vt:lpstr>EndDate</vt:lpstr>
      <vt:lpstr>EndDateCondition</vt:lpstr>
      <vt:lpstr>EV</vt:lpstr>
      <vt:lpstr>EV_Date</vt:lpstr>
      <vt:lpstr>EV_metric</vt:lpstr>
      <vt:lpstr>PercentComplete</vt:lpstr>
      <vt:lpstr>PlannedValue</vt:lpstr>
      <vt:lpstr>PV</vt:lpstr>
      <vt:lpstr>PV_metric</vt:lpstr>
      <vt:lpstr>ScheduleToComplete</vt:lpstr>
      <vt:lpstr>ScheduleToDate</vt:lpstr>
      <vt:lpstr>SPI_metric</vt:lpstr>
      <vt:lpstr>StartDate</vt:lpstr>
      <vt:lpstr>StartDateCondition</vt:lpstr>
      <vt:lpstr>TaskShare</vt:lpstr>
      <vt:lpstr>TempPV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VOGT O.</dc:creator>
  <cp:lastModifiedBy>Oliver Vogt</cp:lastModifiedBy>
  <dcterms:created xsi:type="dcterms:W3CDTF">2018-07-16T09:13:55Z</dcterms:created>
  <dcterms:modified xsi:type="dcterms:W3CDTF">2018-07-26T22:21:33Z</dcterms:modified>
</cp:coreProperties>
</file>